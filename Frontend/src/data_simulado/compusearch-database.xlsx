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Tiendas" sheetId="3" state="visible" r:id="rId3"/>
    <sheet xmlns:r="http://schemas.openxmlformats.org/officeDocument/2006/relationships" name="Usuarios" sheetId="4" state="visible" r:id="rId4"/>
    <sheet xmlns:r="http://schemas.openxmlformats.org/officeDocument/2006/relationships" name="Empleados" sheetId="5" state="visible" r:id="rId5"/>
    <sheet xmlns:r="http://schemas.openxmlformats.org/officeDocument/2006/relationships" name="Incidentes" sheetId="6" state="visible" r:id="rId6"/>
    <sheet xmlns:r="http://schemas.openxmlformats.org/officeDocument/2006/relationships" name="Categorías y Endpoi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sz val="11"/>
    </font>
    <font>
      <name val="Calibri"/>
      <i val="1"/>
      <color rgb="00595959"/>
      <sz val="10"/>
    </font>
    <font>
      <name val="Calibri"/>
      <color rgb="000000FF"/>
      <sz val="10"/>
      <u val="single"/>
    </font>
    <font>
      <name val="Calibri"/>
      <b val="1"/>
      <color rgb="00375623"/>
      <sz val="10"/>
    </font>
    <font>
      <name val="Calibri"/>
      <b val="1"/>
      <color rgb="00C65911"/>
      <sz val="10"/>
    </font>
    <font>
      <name val="Calibri"/>
      <b val="1"/>
      <color rgb="001F497D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2F5496"/>
      </top>
      <bottom style="double">
        <color rgb="002F549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1" pivotButton="0" quotePrefix="0" xfId="0"/>
    <xf numFmtId="3" fontId="5" fillId="4" borderId="1" applyAlignment="1" pivotButton="0" quotePrefix="0" xfId="0">
      <alignment horizontal="right"/>
    </xf>
    <xf numFmtId="0" fontId="6" fillId="0" borderId="1" pivotButton="0" quotePrefix="0" xfId="0"/>
    <xf numFmtId="164" fontId="5" fillId="4" borderId="1" applyAlignment="1" pivotButton="0" quotePrefix="0" xfId="0">
      <alignment horizontal="right"/>
    </xf>
    <xf numFmtId="3" fontId="0" fillId="0" borderId="1" pivotButton="0" quotePrefix="0" xfId="0"/>
    <xf numFmtId="164" fontId="0" fillId="4" borderId="1" pivotButton="0" quotePrefix="0" xfId="0"/>
    <xf numFmtId="0" fontId="7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164" fontId="3" fillId="3" borderId="0" pivotButton="0" quotePrefix="0" xfId="0"/>
    <xf numFmtId="0" fontId="3" fillId="3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0" fillId="3" borderId="2" pivotButton="0" quotePrefix="0" xfId="0"/>
    <xf numFmtId="0" fontId="3" fillId="3" borderId="2" pivotButton="0" quotePrefix="0" xfId="0"/>
    <xf numFmtId="3" fontId="3" fillId="3" borderId="2" pivotButton="0" quotePrefix="0" xfId="0"/>
    <xf numFmtId="164" fontId="3" fillId="3" borderId="2" pivotButton="0" quotePrefix="0" xfId="0"/>
    <xf numFmtId="0" fontId="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/Relationships>
</file>

<file path=xl/drawings/_rels/drawing2.xml.rels><Relationships xmlns="http://schemas.openxmlformats.org/package/2006/relationships"><Relationship Type="http://schemas.openxmlformats.org/officeDocument/2006/relationships/image" Target="/xl/media/image29.png" Id="rId1"/><Relationship Type="http://schemas.openxmlformats.org/officeDocument/2006/relationships/image" Target="/xl/media/image30.png" Id="rId2"/><Relationship Type="http://schemas.openxmlformats.org/officeDocument/2006/relationships/image" Target="/xl/media/image31.png" Id="rId3"/><Relationship Type="http://schemas.openxmlformats.org/officeDocument/2006/relationships/image" Target="/xl/media/image32.png" Id="rId4"/><Relationship Type="http://schemas.openxmlformats.org/officeDocument/2006/relationships/image" Target="/xl/media/image33.png" Id="rId5"/><Relationship Type="http://schemas.openxmlformats.org/officeDocument/2006/relationships/image" Target="/xl/media/image34.png" Id="rId6"/><Relationship Type="http://schemas.openxmlformats.org/officeDocument/2006/relationships/image" Target="/xl/media/image35.png" Id="rId7"/><Relationship Type="http://schemas.openxmlformats.org/officeDocument/2006/relationships/image" Target="/xl/media/image36.png" Id="rId8"/><Relationship Type="http://schemas.openxmlformats.org/officeDocument/2006/relationships/image" Target="/xl/media/image37.png" Id="rId9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476250" cy="33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476250" cy="333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47625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7625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47625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76250" cy="333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476250" cy="333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47625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476250" cy="333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476250" cy="333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47625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476250" cy="333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476250" cy="333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476250" cy="333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476250" cy="3333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476250" cy="3333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476250" cy="3333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476250" cy="3333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476250" cy="3333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476250" cy="3333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476250" cy="3333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476250" cy="3333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476250" cy="3333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476250" cy="3333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476250" cy="3333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476250" cy="3333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476250" cy="3333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476250" cy="3333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285750" cy="19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285750" cy="19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285750" cy="19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285750" cy="190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285750" cy="190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285750" cy="190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285750" cy="190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285750" cy="190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285750" cy="190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30" customWidth="1" min="3" max="3"/>
    <col width="25" customWidth="1" min="4" max="4"/>
    <col width="32" customWidth="1" min="5" max="5"/>
  </cols>
  <sheetData>
    <row r="1"/>
    <row r="2">
      <c r="A2" s="1" t="inlineStr">
        <is>
          <t>COMPUSEARCH - DASHBOARD BASE DE DATOS, TIENDAS Y CATALOGO WEB</t>
        </is>
      </c>
    </row>
    <row r="3">
      <c r="A3" s="2" t="inlineStr">
        <is>
          <t>Sistema Integrado con Imágenes, Enlaces de Tiendas y Endpoints MSW | v3.0</t>
        </is>
      </c>
    </row>
    <row r="4"/>
    <row r="5">
      <c r="A5" s="3" t="inlineStr">
        <is>
          <t>INDICADORES CLAVE DE RENDIMIENTO (KPIs) - INVENTARIO GENERAL</t>
        </is>
      </c>
    </row>
    <row r="6">
      <c r="A6" s="4" t="inlineStr">
        <is>
          <t>Indicador / KPI</t>
        </is>
      </c>
      <c r="B6" s="4" t="inlineStr">
        <is>
          <t>Valor / Resultado</t>
        </is>
      </c>
      <c r="C6" s="4" t="inlineStr">
        <is>
          <t>Origen de Datos</t>
        </is>
      </c>
    </row>
    <row r="7">
      <c r="A7" s="5" t="inlineStr">
        <is>
          <t>Total Productos Registrados</t>
        </is>
      </c>
      <c r="B7" s="6">
        <f>COUNTA(Productos!A3:A30)</f>
        <v/>
      </c>
      <c r="C7" s="7" t="inlineStr">
        <is>
          <t>Tabla Productos (Items)</t>
        </is>
      </c>
    </row>
    <row r="8">
      <c r="A8" s="5" t="inlineStr">
        <is>
          <t>Total Unidades en Stock</t>
        </is>
      </c>
      <c r="B8" s="6">
        <f>SUM(Productos!E3:E30)</f>
        <v/>
      </c>
      <c r="C8" s="7" t="inlineStr">
        <is>
          <t>Tabla Productos (Unidades)</t>
        </is>
      </c>
    </row>
    <row r="9">
      <c r="A9" s="5" t="inlineStr">
        <is>
          <t>Valor Total Inventario ($)</t>
        </is>
      </c>
      <c r="B9" s="8">
        <f>SUM(Productos!G3:G30)</f>
        <v/>
      </c>
      <c r="C9" s="7" t="inlineStr">
        <is>
          <t>Tabla Productos ($ USD)</t>
        </is>
      </c>
    </row>
    <row r="10">
      <c r="A10" s="5" t="inlineStr">
        <is>
          <t>Tiendas Comercializadoras</t>
        </is>
      </c>
      <c r="B10" s="6">
        <f>COUNTA(Tiendas!A3:A11)</f>
        <v/>
      </c>
      <c r="C10" s="7" t="inlineStr">
        <is>
          <t>Tabla Tiendas</t>
        </is>
      </c>
    </row>
    <row r="11">
      <c r="A11" s="5" t="inlineStr">
        <is>
          <t>Tiendas Activas en Sistema</t>
        </is>
      </c>
      <c r="B11" s="6">
        <f>COUNTIF(Tiendas!D4:D11, "ACTIVO") + 1</f>
        <v/>
      </c>
      <c r="C11" s="7" t="inlineStr">
        <is>
          <t>Tabla Tiendas (Estatus ACTIVO)</t>
        </is>
      </c>
    </row>
    <row r="12">
      <c r="A12" s="5" t="inlineStr">
        <is>
          <t>Usuarios Registrados</t>
        </is>
      </c>
      <c r="B12" s="6">
        <f>COUNTA(Usuarios!A3:A6)</f>
        <v/>
      </c>
      <c r="C12" s="7" t="inlineStr">
        <is>
          <t>Tabla Usuarios</t>
        </is>
      </c>
    </row>
    <row r="13">
      <c r="A13" s="5" t="inlineStr">
        <is>
          <t>Empleados Registrados</t>
        </is>
      </c>
      <c r="B13" s="6">
        <f>COUNTA(Empleados!A3:A5)</f>
        <v/>
      </c>
      <c r="C13" s="7" t="inlineStr">
        <is>
          <t>Tabla Empleados</t>
        </is>
      </c>
    </row>
    <row r="14">
      <c r="A14" s="5" t="inlineStr">
        <is>
          <t>Incidentes Pendientes</t>
        </is>
      </c>
      <c r="B14" s="6">
        <f>COUNTIF(Incidentes!C3:C4, "PENDIENTE")</f>
        <v/>
      </c>
      <c r="C14" s="7" t="inlineStr">
        <is>
          <t>Mesa de Ayuda (Incidentes)</t>
        </is>
      </c>
    </row>
    <row r="15">
      <c r="A15" s="5" t="inlineStr">
        <is>
          <t>Categorías de Hardware</t>
        </is>
      </c>
      <c r="B15" s="6">
        <f>COUNTA('Categorías y Endpoints'!A3:A11)</f>
        <v/>
      </c>
      <c r="C15" s="7" t="inlineStr">
        <is>
          <t>Pestaña Categorías</t>
        </is>
      </c>
    </row>
    <row r="16">
      <c r="A16" s="5" t="inlineStr">
        <is>
          <t>Endpoints API MSW Definidos</t>
        </is>
      </c>
      <c r="B16" s="6">
        <f>COUNTA('Categorías y Endpoints'!A15:A29)</f>
        <v/>
      </c>
      <c r="C16" s="7" t="inlineStr">
        <is>
          <t>Pestaña Endpoints API</t>
        </is>
      </c>
    </row>
    <row r="17"/>
    <row r="18"/>
    <row r="19">
      <c r="A19" s="3" t="inlineStr">
        <is>
          <t>RESUMEN DE STOCK Y VALOR DE INVENTARIO POR TIENDA / FUENTE</t>
        </is>
      </c>
    </row>
    <row r="20">
      <c r="A20" s="4" t="inlineStr">
        <is>
          <t>Tienda / Fuente Comercial</t>
        </is>
      </c>
      <c r="B20" s="4" t="inlineStr">
        <is>
          <t>Productos Distintos</t>
        </is>
      </c>
      <c r="C20" s="4" t="inlineStr">
        <is>
          <t>Stock Total (Unid.)</t>
        </is>
      </c>
      <c r="D20" s="4" t="inlineStr">
        <is>
          <t>Valor Total ($)</t>
        </is>
      </c>
      <c r="E20" s="4" t="inlineStr">
        <is>
          <t>Enlace Web / Catálogo</t>
        </is>
      </c>
    </row>
    <row r="21">
      <c r="A21" s="5" t="inlineStr">
        <is>
          <t>pc Factory Perú</t>
        </is>
      </c>
      <c r="B21" s="9">
        <f>COUNTIF(Productos!H3:H30, "pc Factory Perú")</f>
        <v/>
      </c>
      <c r="C21" s="9">
        <f>SUMIF(Productos!H3:H30, "pc Factory Perú", Productos!E3:E30)</f>
        <v/>
      </c>
      <c r="D21" s="10">
        <f>SUMIF(Productos!H3:H30, "pc Factory Perú", Productos!G3:G30)</f>
        <v/>
      </c>
      <c r="E21" s="11">
        <f>HYPERLINK("https://www.pcfactory.com.pe", "Ver Web pc Factory")</f>
        <v/>
      </c>
    </row>
    <row r="22">
      <c r="A22" s="5" t="inlineStr">
        <is>
          <t>Grupo Compu &amp; Visión</t>
        </is>
      </c>
      <c r="B22" s="9">
        <f>COUNTIF(Productos!H3:H30, "Grupo Compu &amp; Visión")</f>
        <v/>
      </c>
      <c r="C22" s="9">
        <f>SUMIF(Productos!H3:H30, "Grupo Compu &amp; Visión", Productos!E3:E30)</f>
        <v/>
      </c>
      <c r="D22" s="10">
        <f>SUMIF(Productos!H3:H30, "Grupo Compu &amp; Visión", Productos!G3:G30)</f>
        <v/>
      </c>
      <c r="E22" s="11">
        <f>HYPERLINK("https://compuvision.pe", "Ver Web Compu &amp; Visión")</f>
        <v/>
      </c>
    </row>
    <row r="23">
      <c r="A23" s="5" t="inlineStr">
        <is>
          <t>SB Data</t>
        </is>
      </c>
      <c r="B23" s="9">
        <f>COUNTIF(Productos!H3:H30, "SB Data")</f>
        <v/>
      </c>
      <c r="C23" s="9">
        <f>SUMIF(Productos!H3:H30, "SB Data", Productos!E3:E30)</f>
        <v/>
      </c>
      <c r="D23" s="10">
        <f>SUMIF(Productos!H3:H30, "SB Data", Productos!G3:G30)</f>
        <v/>
      </c>
      <c r="E23" s="11">
        <f>HYPERLINK("https://sbdata.com.pe", "Ver Web SB Data")</f>
        <v/>
      </c>
    </row>
    <row r="24">
      <c r="A24" s="5" t="inlineStr">
        <is>
          <t>Infotec Perú</t>
        </is>
      </c>
      <c r="B24" s="9">
        <f>COUNTIF(Productos!H3:H30, "Infotec Perú")</f>
        <v/>
      </c>
      <c r="C24" s="9">
        <f>SUMIF(Productos!H3:H30, "Infotec Perú", Productos!E3:E30)</f>
        <v/>
      </c>
      <c r="D24" s="10">
        <f>SUMIF(Productos!H3:H30, "Infotec Perú", Productos!G3:G30)</f>
        <v/>
      </c>
      <c r="E24" s="11">
        <f>HYPERLINK("https://infotec.com.pe", "Ver Web Infotec")</f>
        <v/>
      </c>
    </row>
    <row r="25">
      <c r="A25" s="5" t="inlineStr">
        <is>
          <t>Rayotec</t>
        </is>
      </c>
      <c r="B25" s="9">
        <f>COUNTIF(Productos!H3:H30, "Rayotec")</f>
        <v/>
      </c>
      <c r="C25" s="9">
        <f>SUMIF(Productos!H3:H30, "Rayotec", Productos!E3:E30)</f>
        <v/>
      </c>
      <c r="D25" s="10">
        <f>SUMIF(Productos!H3:H30, "Rayotec", Productos!G3:G30)</f>
        <v/>
      </c>
      <c r="E25" s="11">
        <f>HYPERLINK("https://rayotec.pe", "Ver Web Rayotec")</f>
        <v/>
      </c>
    </row>
    <row r="26">
      <c r="A26" s="5" t="inlineStr">
        <is>
          <t>CompuSearch Central / Norte</t>
        </is>
      </c>
      <c r="B26" s="9">
        <f>COUNTIF(Productos!H3:H30, "CompuSearch*")</f>
        <v/>
      </c>
      <c r="C26" s="9">
        <f>SUMIF(Productos!H3:H30, "CompuSearch*", Productos!E3:E30)</f>
        <v/>
      </c>
      <c r="D26" s="10">
        <f>SUMIF(Productos!H3:H30, "CompuSearch*", Productos!G3:G30)</f>
        <v/>
      </c>
      <c r="E26" s="11">
        <f>HYPERLINK("https://compusearch.com", "Ver Portal CompuSearch")</f>
        <v/>
      </c>
    </row>
    <row r="27">
      <c r="A27" s="12" t="inlineStr">
        <is>
          <t>TOTAL ACUMULADO TIENDAS</t>
        </is>
      </c>
      <c r="B27" s="13">
        <f>SUM(B21:B26)</f>
        <v/>
      </c>
      <c r="C27" s="13">
        <f>SUM(C21:C26)</f>
        <v/>
      </c>
      <c r="D27" s="14">
        <f>SUM(D21:D26)</f>
        <v/>
      </c>
      <c r="E27" s="15" t="inlineStr">
        <is>
          <t>-</t>
        </is>
      </c>
    </row>
  </sheetData>
  <mergeCells count="2">
    <mergeCell ref="A5:C5"/>
    <mergeCell ref="A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2" customWidth="1" min="3" max="3"/>
    <col width="18" customWidth="1" min="4" max="4"/>
    <col width="12" customWidth="1" min="5" max="5"/>
    <col width="16" customWidth="1" min="6" max="6"/>
    <col width="18" customWidth="1" min="7" max="7"/>
    <col width="26" customWidth="1" min="8" max="8"/>
    <col width="40" customWidth="1" min="9" max="9"/>
    <col width="15" customWidth="1" min="10" max="10"/>
    <col width="28" customWidth="1" min="11" max="11"/>
    <col width="28" customWidth="1" min="12" max="12"/>
  </cols>
  <sheetData>
    <row r="1">
      <c r="A1" s="4" t="inlineStr">
        <is>
          <t>ID</t>
        </is>
      </c>
      <c r="B1" s="4" t="inlineStr">
        <is>
          <t>Vista Previa</t>
        </is>
      </c>
      <c r="C1" s="4" t="inlineStr">
        <is>
          <t>Nombre del Producto / Componente</t>
        </is>
      </c>
      <c r="D1" s="4" t="inlineStr">
        <is>
          <t>Categoría</t>
        </is>
      </c>
      <c r="E1" s="4" t="inlineStr">
        <is>
          <t>Stock</t>
        </is>
      </c>
      <c r="F1" s="4" t="inlineStr">
        <is>
          <t>Precio Unit. ($)</t>
        </is>
      </c>
      <c r="G1" s="4" t="inlineStr">
        <is>
          <t>Valor Total ($)</t>
        </is>
      </c>
      <c r="H1" s="4" t="inlineStr">
        <is>
          <t>Tienda / Fuente de Origen</t>
        </is>
      </c>
      <c r="I1" s="4" t="inlineStr">
        <is>
          <t>Ubicación / Dirección de la Tienda</t>
        </is>
      </c>
      <c r="J1" s="4" t="inlineStr">
        <is>
          <t>Estatus</t>
        </is>
      </c>
      <c r="K1" s="4" t="inlineStr">
        <is>
          <t>Enlace Foto / Imagen (URL)</t>
        </is>
      </c>
      <c r="L1" s="4" t="inlineStr">
        <is>
          <t>Enlace Web / Tienda (URL)</t>
        </is>
      </c>
    </row>
    <row r="2"/>
    <row r="3" ht="45" customHeight="1">
      <c r="A3" s="16" t="n">
        <v>101</v>
      </c>
      <c r="B3" s="17" t="inlineStr"/>
      <c r="C3" s="18" t="inlineStr">
        <is>
          <t>Procesador Intel Core i9-14900K 24-Cores</t>
        </is>
      </c>
      <c r="D3" s="16" t="inlineStr">
        <is>
          <t>CPU</t>
        </is>
      </c>
      <c r="E3" s="19" t="n">
        <v>10</v>
      </c>
      <c r="F3" s="20" t="n">
        <v>450</v>
      </c>
      <c r="G3" s="21">
        <f>E3*F3</f>
        <v/>
      </c>
      <c r="H3" s="18" t="inlineStr">
        <is>
          <t>CompuSearch Central</t>
        </is>
      </c>
      <c r="I3" s="18" t="inlineStr">
        <is>
          <t>Av. Principal 123 - San Isidro</t>
        </is>
      </c>
      <c r="J3" s="22" t="inlineStr">
        <is>
          <t>DISPONIBLE</t>
        </is>
      </c>
      <c r="K3" s="23">
        <f>HYPERLINK("https://m.media-amazon.com/images/I/61L2r5K2EGL._AC_SL1500_.jpg", "Ver Foto HD")</f>
        <v/>
      </c>
      <c r="L3" s="23">
        <f>HYPERLINK("https://compusearch.com/productos/101", "Ver en CompuSearch")</f>
        <v/>
      </c>
    </row>
    <row r="4" ht="45" customHeight="1">
      <c r="A4" s="16" t="n">
        <v>102</v>
      </c>
      <c r="B4" s="17" t="inlineStr"/>
      <c r="C4" s="18" t="inlineStr">
        <is>
          <t>Tarjeta Gráfica RTX 4090 24GB GDDR6X</t>
        </is>
      </c>
      <c r="D4" s="16" t="inlineStr">
        <is>
          <t>GPU</t>
        </is>
      </c>
      <c r="E4" s="19" t="n">
        <v>3</v>
      </c>
      <c r="F4" s="20" t="n">
        <v>1599.99</v>
      </c>
      <c r="G4" s="21">
        <f>E4*F4</f>
        <v/>
      </c>
      <c r="H4" s="18" t="inlineStr">
        <is>
          <t>CompuSearch Central</t>
        </is>
      </c>
      <c r="I4" s="18" t="inlineStr">
        <is>
          <t>Av. Principal 123 - San Isidro</t>
        </is>
      </c>
      <c r="J4" s="24" t="inlineStr">
        <is>
          <t>STOCK BAJO</t>
        </is>
      </c>
      <c r="K4" s="23">
        <f>HYPERLINK("https://m.media-amazon.com/images/I/71R2nN6vBfL._AC_SL1500_.jpg", "Ver Foto HD")</f>
        <v/>
      </c>
      <c r="L4" s="23">
        <f>HYPERLINK("https://compusearch.com/productos/102", "Ver en CompuSearch")</f>
        <v/>
      </c>
    </row>
    <row r="5" ht="45" customHeight="1">
      <c r="A5" s="16" t="n">
        <v>103</v>
      </c>
      <c r="B5" s="17" t="inlineStr"/>
      <c r="C5" s="18" t="inlineStr">
        <is>
          <t>Memoria RAM 32GB (2x16GB) DDR5 6000MHz</t>
        </is>
      </c>
      <c r="D5" s="16" t="inlineStr">
        <is>
          <t>RAM</t>
        </is>
      </c>
      <c r="E5" s="19" t="n">
        <v>25</v>
      </c>
      <c r="F5" s="20" t="n">
        <v>120.5</v>
      </c>
      <c r="G5" s="21">
        <f>E5*F5</f>
        <v/>
      </c>
      <c r="H5" s="18" t="inlineStr">
        <is>
          <t>CompuSearch Norte</t>
        </is>
      </c>
      <c r="I5" s="18" t="inlineStr">
        <is>
          <t>Plaza Mayor 456 - Los Olivos</t>
        </is>
      </c>
      <c r="J5" s="22" t="inlineStr">
        <is>
          <t>DISPONIBLE</t>
        </is>
      </c>
      <c r="K5" s="23">
        <f>HYPERLINK("https://m.media-amazon.com/images/I/61K5A-L+2oL._AC_SL1500_.jpg", "Ver Foto HD")</f>
        <v/>
      </c>
      <c r="L5" s="23">
        <f>HYPERLINK("https://compusearch.com/productos/103", "Ver en CompuSearch")</f>
        <v/>
      </c>
    </row>
    <row r="6" ht="45" customHeight="1">
      <c r="A6" s="16" t="n">
        <v>104</v>
      </c>
      <c r="B6" s="17" t="inlineStr"/>
      <c r="C6" s="18" t="inlineStr">
        <is>
          <t>Procesador Intel Core i5-12400F 6 Núcleos</t>
        </is>
      </c>
      <c r="D6" s="16" t="inlineStr">
        <is>
          <t>CPU</t>
        </is>
      </c>
      <c r="E6" s="19" t="n">
        <v>30</v>
      </c>
      <c r="F6" s="20" t="n">
        <v>183.75</v>
      </c>
      <c r="G6" s="21">
        <f>E6*F6</f>
        <v/>
      </c>
      <c r="H6" s="18" t="inlineStr">
        <is>
          <t>pc Factory Perú</t>
        </is>
      </c>
      <c r="I6" s="18" t="inlineStr">
        <is>
          <t>Plaza San Miguel / Jockey Plaza</t>
        </is>
      </c>
      <c r="J6" s="22" t="inlineStr">
        <is>
          <t>DISPONIBLE</t>
        </is>
      </c>
      <c r="K6" s="23">
        <f>HYPERLINK("https://m.media-amazon.com/images/I/51rP-4L2P3L._AC_SL1000_.jpg", "Ver Foto HD")</f>
        <v/>
      </c>
      <c r="L6" s="23">
        <f>HYPERLINK("https://www.pcfactory.com.pe/producto/45231", "Ver en pc")</f>
        <v/>
      </c>
    </row>
    <row r="7" ht="45" customHeight="1">
      <c r="A7" s="16" t="n">
        <v>105</v>
      </c>
      <c r="B7" s="17" t="inlineStr"/>
      <c r="C7" s="18" t="inlineStr">
        <is>
          <t>Procesador AMD Ryzen 5 5500 6 Cursos 4.2GHz</t>
        </is>
      </c>
      <c r="D7" s="16" t="inlineStr">
        <is>
          <t>CPU</t>
        </is>
      </c>
      <c r="E7" s="19" t="n">
        <v>17</v>
      </c>
      <c r="F7" s="20" t="n">
        <v>108</v>
      </c>
      <c r="G7" s="21">
        <f>E7*F7</f>
        <v/>
      </c>
      <c r="H7" s="18" t="inlineStr">
        <is>
          <t>pc Factory Perú</t>
        </is>
      </c>
      <c r="I7" s="18" t="inlineStr">
        <is>
          <t>Plaza San Miguel / Jockey Plaza</t>
        </is>
      </c>
      <c r="J7" s="22" t="inlineStr">
        <is>
          <t>DISPONIBLE</t>
        </is>
      </c>
      <c r="K7" s="23">
        <f>HYPERLINK("https://m.media-amazon.com/images/I/61vGQNUEsGL._AC_SL1200_.jpg", "Ver Foto HD")</f>
        <v/>
      </c>
      <c r="L7" s="23">
        <f>HYPERLINK("https://www.pcfactory.com.pe/producto/46112", "Ver en pc")</f>
        <v/>
      </c>
    </row>
    <row r="8" ht="45" customHeight="1">
      <c r="A8" s="16" t="n">
        <v>106</v>
      </c>
      <c r="B8" s="17" t="inlineStr"/>
      <c r="C8" s="18" t="inlineStr">
        <is>
          <t>Procesador AMD Ryzen 7 5700G 8 Cursos 4.6GHz</t>
        </is>
      </c>
      <c r="D8" s="16" t="inlineStr">
        <is>
          <t>CPU</t>
        </is>
      </c>
      <c r="E8" s="19" t="n">
        <v>11</v>
      </c>
      <c r="F8" s="20" t="n">
        <v>224.25</v>
      </c>
      <c r="G8" s="21">
        <f>E8*F8</f>
        <v/>
      </c>
      <c r="H8" s="18" t="inlineStr">
        <is>
          <t>pc Factory Perú</t>
        </is>
      </c>
      <c r="I8" s="18" t="inlineStr">
        <is>
          <t>Plaza San Miguel / Jockey Plaza</t>
        </is>
      </c>
      <c r="J8" s="22" t="inlineStr">
        <is>
          <t>DISPONIBLE</t>
        </is>
      </c>
      <c r="K8" s="23">
        <f>HYPERLINK("https://m.media-amazon.com/images/I/51f2A6M47xL._AC_SL1000_.jpg", "Ver Foto HD")</f>
        <v/>
      </c>
      <c r="L8" s="23">
        <f>HYPERLINK("https://www.pcfactory.com.pe/producto/43009", "Ver en pc")</f>
        <v/>
      </c>
    </row>
    <row r="9" ht="45" customHeight="1">
      <c r="A9" s="16" t="n">
        <v>107</v>
      </c>
      <c r="B9" s="17" t="inlineStr"/>
      <c r="C9" s="18" t="inlineStr">
        <is>
          <t>Procesador Intel Core i7-12700 12 Cursos 4.9GHz</t>
        </is>
      </c>
      <c r="D9" s="16" t="inlineStr">
        <is>
          <t>CPU</t>
        </is>
      </c>
      <c r="E9" s="19" t="n">
        <v>12</v>
      </c>
      <c r="F9" s="20" t="n">
        <v>405.35</v>
      </c>
      <c r="G9" s="21">
        <f>E9*F9</f>
        <v/>
      </c>
      <c r="H9" s="18" t="inlineStr">
        <is>
          <t>pc Factory Perú</t>
        </is>
      </c>
      <c r="I9" s="18" t="inlineStr">
        <is>
          <t>Plaza San Miguel / Jockey Plaza</t>
        </is>
      </c>
      <c r="J9" s="22" t="inlineStr">
        <is>
          <t>DISPONIBLE</t>
        </is>
      </c>
      <c r="K9" s="23">
        <f>HYPERLINK("https://m.media-amazon.com/images/I/51B-74V2cDL._AC_SL1000_.jpg", "Ver Foto HD")</f>
        <v/>
      </c>
      <c r="L9" s="23">
        <f>HYPERLINK("https://www.pcfactory.com.pe/producto/45001", "Ver en pc")</f>
        <v/>
      </c>
    </row>
    <row r="10" ht="45" customHeight="1">
      <c r="A10" s="16" t="n">
        <v>108</v>
      </c>
      <c r="B10" s="17" t="inlineStr"/>
      <c r="C10" s="18" t="inlineStr">
        <is>
          <t>Procesador AMD Ryzen 5 7600X AM5 5.3GHz</t>
        </is>
      </c>
      <c r="D10" s="16" t="inlineStr">
        <is>
          <t>CPU</t>
        </is>
      </c>
      <c r="E10" s="19" t="n">
        <v>6</v>
      </c>
      <c r="F10" s="20" t="n">
        <v>251.3</v>
      </c>
      <c r="G10" s="21">
        <f>E10*F10</f>
        <v/>
      </c>
      <c r="H10" s="18" t="inlineStr">
        <is>
          <t>pc Factory Perú</t>
        </is>
      </c>
      <c r="I10" s="18" t="inlineStr">
        <is>
          <t>Plaza San Miguel / Jockey Plaza</t>
        </is>
      </c>
      <c r="J10" s="22" t="inlineStr">
        <is>
          <t>DISPONIBLE</t>
        </is>
      </c>
      <c r="K10" s="23">
        <f>HYPERLINK("https://m.media-amazon.com/images/I/61b17L-7e5L._AC_SL1000_.jpg", "Ver Foto HD")</f>
        <v/>
      </c>
      <c r="L10" s="23">
        <f>HYPERLINK("https://www.pcfactory.com.pe/producto/47100", "Ver en pc")</f>
        <v/>
      </c>
    </row>
    <row r="11" ht="45" customHeight="1">
      <c r="A11" s="16" t="n">
        <v>109</v>
      </c>
      <c r="B11" s="17" t="inlineStr"/>
      <c r="C11" s="18" t="inlineStr">
        <is>
          <t>Tarjeta de Video GeForce RTX 3050 6GB MSI Ventus 2X</t>
        </is>
      </c>
      <c r="D11" s="16" t="inlineStr">
        <is>
          <t>GPU</t>
        </is>
      </c>
      <c r="E11" s="19" t="n">
        <v>23</v>
      </c>
      <c r="F11" s="20" t="n">
        <v>270.2</v>
      </c>
      <c r="G11" s="21">
        <f>E11*F11</f>
        <v/>
      </c>
      <c r="H11" s="18" t="inlineStr">
        <is>
          <t>pc Factory Perú</t>
        </is>
      </c>
      <c r="I11" s="18" t="inlineStr">
        <is>
          <t>Plaza San Miguel / Jockey Plaza</t>
        </is>
      </c>
      <c r="J11" s="22" t="inlineStr">
        <is>
          <t>DISPONIBLE</t>
        </is>
      </c>
      <c r="K11" s="23">
        <f>HYPERLINK("https://m.media-amazon.com/images/I/71a6P6M3C7L._AC_SL1500_.jpg", "Ver Foto HD")</f>
        <v/>
      </c>
      <c r="L11" s="23">
        <f>HYPERLINK("https://www.pcfactory.com.pe/producto/50123", "Ver en pc")</f>
        <v/>
      </c>
    </row>
    <row r="12" ht="45" customHeight="1">
      <c r="A12" s="16" t="n">
        <v>110</v>
      </c>
      <c r="B12" s="17" t="inlineStr"/>
      <c r="C12" s="18" t="inlineStr">
        <is>
          <t>Tarjeta de Video GeForce RTX 5060 8GB MSI Shadow 2X</t>
        </is>
      </c>
      <c r="D12" s="16" t="inlineStr">
        <is>
          <t>GPU</t>
        </is>
      </c>
      <c r="E12" s="19" t="n">
        <v>8</v>
      </c>
      <c r="F12" s="20" t="n">
        <v>459.4</v>
      </c>
      <c r="G12" s="21">
        <f>E12*F12</f>
        <v/>
      </c>
      <c r="H12" s="18" t="inlineStr">
        <is>
          <t>pc Factory Perú</t>
        </is>
      </c>
      <c r="I12" s="18" t="inlineStr">
        <is>
          <t>Plaza San Miguel / Jockey Plaza</t>
        </is>
      </c>
      <c r="J12" s="22" t="inlineStr">
        <is>
          <t>DISPONIBLE</t>
        </is>
      </c>
      <c r="K12" s="23">
        <f>HYPERLINK("https://m.media-amazon.com/images/I/71I3P6+bKML._AC_SL1500_.jpg", "Ver Foto HD")</f>
        <v/>
      </c>
      <c r="L12" s="23">
        <f>HYPERLINK("https://www.pcfactory.com.pe/producto/51200", "Ver en pc")</f>
        <v/>
      </c>
    </row>
    <row r="13" ht="45" customHeight="1">
      <c r="A13" s="16" t="n">
        <v>111</v>
      </c>
      <c r="B13" s="17" t="inlineStr"/>
      <c r="C13" s="18" t="inlineStr">
        <is>
          <t>Tarjeta de Video GeForce RTX 5070 12GB Asus Prime OC</t>
        </is>
      </c>
      <c r="D13" s="16" t="inlineStr">
        <is>
          <t>GPU</t>
        </is>
      </c>
      <c r="E13" s="19" t="n">
        <v>4</v>
      </c>
      <c r="F13" s="20" t="n">
        <v>1054</v>
      </c>
      <c r="G13" s="21">
        <f>E13*F13</f>
        <v/>
      </c>
      <c r="H13" s="18" t="inlineStr">
        <is>
          <t>pc Factory Perú</t>
        </is>
      </c>
      <c r="I13" s="18" t="inlineStr">
        <is>
          <t>Plaza San Miguel / Jockey Plaza</t>
        </is>
      </c>
      <c r="J13" s="24" t="inlineStr">
        <is>
          <t>STOCK BAJO</t>
        </is>
      </c>
      <c r="K13" s="23">
        <f>HYPERLINK("https://m.media-amazon.com/images/I/81R4q+nN3AL._AC_SL1500_.jpg", "Ver Foto HD")</f>
        <v/>
      </c>
      <c r="L13" s="23">
        <f>HYPERLINK("https://www.pcfactory.com.pe/producto/52300", "Ver en pc")</f>
        <v/>
      </c>
    </row>
    <row r="14" ht="45" customHeight="1">
      <c r="A14" s="16" t="n">
        <v>112</v>
      </c>
      <c r="B14" s="17" t="inlineStr"/>
      <c r="C14" s="18" t="inlineStr">
        <is>
          <t>Placa MSI MAG X870E GAMING MAX WIFI AM5 DDR5</t>
        </is>
      </c>
      <c r="D14" s="16" t="inlineStr">
        <is>
          <t>Motherboard</t>
        </is>
      </c>
      <c r="E14" s="19" t="n">
        <v>2</v>
      </c>
      <c r="F14" s="20" t="n">
        <v>299</v>
      </c>
      <c r="G14" s="21">
        <f>E14*F14</f>
        <v/>
      </c>
      <c r="H14" s="18" t="inlineStr">
        <is>
          <t>Grupo Compu &amp; Visión</t>
        </is>
      </c>
      <c r="I14" s="18" t="inlineStr">
        <is>
          <t>Galería Compuplaza - Wilson 1251 #123</t>
        </is>
      </c>
      <c r="J14" s="24" t="inlineStr">
        <is>
          <t>STOCK BAJO</t>
        </is>
      </c>
      <c r="K14" s="23">
        <f>HYPERLINK("https://m.media-amazon.com/images/I/81G3+7d+C3L._AC_SL1500_.jpg", "Ver Foto HD")</f>
        <v/>
      </c>
      <c r="L14" s="23">
        <f>HYPERLINK("https://compuvision.pe/producto/msi-x870e", "Ver en Grupo")</f>
        <v/>
      </c>
    </row>
    <row r="15" ht="45" customHeight="1">
      <c r="A15" s="16" t="n">
        <v>113</v>
      </c>
      <c r="B15" s="17" t="inlineStr"/>
      <c r="C15" s="18" t="inlineStr">
        <is>
          <t>Tarjeta de Video RTX 5050 8GB Gigabyte Windforce OC</t>
        </is>
      </c>
      <c r="D15" s="16" t="inlineStr">
        <is>
          <t>GPU</t>
        </is>
      </c>
      <c r="E15" s="19" t="n">
        <v>10</v>
      </c>
      <c r="F15" s="20" t="n">
        <v>365</v>
      </c>
      <c r="G15" s="21">
        <f>E15*F15</f>
        <v/>
      </c>
      <c r="H15" s="18" t="inlineStr">
        <is>
          <t>Grupo Compu &amp; Visión</t>
        </is>
      </c>
      <c r="I15" s="18" t="inlineStr">
        <is>
          <t>Galería Compuplaza - Wilson 1251 #123</t>
        </is>
      </c>
      <c r="J15" s="22" t="inlineStr">
        <is>
          <t>DISPONIBLE</t>
        </is>
      </c>
      <c r="K15" s="23">
        <f>HYPERLINK("https://m.media-amazon.com/images/I/71k4B7a1wCL._AC_SL1500_.jpg", "Ver Foto HD")</f>
        <v/>
      </c>
      <c r="L15" s="23">
        <f>HYPERLINK("https://compuvision.pe/producto/rtx-5050-gigabyte", "Ver en Grupo")</f>
        <v/>
      </c>
    </row>
    <row r="16" ht="45" customHeight="1">
      <c r="A16" s="16" t="n">
        <v>114</v>
      </c>
      <c r="B16" s="17" t="inlineStr"/>
      <c r="C16" s="18" t="inlineStr">
        <is>
          <t>Placa Gigabyte B860M K Gen5 LGA 1851 DDR5</t>
        </is>
      </c>
      <c r="D16" s="16" t="inlineStr">
        <is>
          <t>Motherboard</t>
        </is>
      </c>
      <c r="E16" s="19" t="n">
        <v>5</v>
      </c>
      <c r="F16" s="20" t="n">
        <v>113</v>
      </c>
      <c r="G16" s="21">
        <f>E16*F16</f>
        <v/>
      </c>
      <c r="H16" s="18" t="inlineStr">
        <is>
          <t>Grupo Compu &amp; Visión</t>
        </is>
      </c>
      <c r="I16" s="18" t="inlineStr">
        <is>
          <t>Galería Compuplaza - Wilson 1251 #123</t>
        </is>
      </c>
      <c r="J16" s="22" t="inlineStr">
        <is>
          <t>DISPONIBLE</t>
        </is>
      </c>
      <c r="K16" s="23">
        <f>HYPERLINK("https://m.media-amazon.com/images/I/81+c7B2527L._AC_SL1500_.jpg", "Ver Foto HD")</f>
        <v/>
      </c>
      <c r="L16" s="23">
        <f>HYPERLINK("https://compuvision.pe/producto/b860m-gigabyte", "Ver en Grupo")</f>
        <v/>
      </c>
    </row>
    <row r="17" ht="45" customHeight="1">
      <c r="A17" s="16" t="n">
        <v>115</v>
      </c>
      <c r="B17" s="17" t="inlineStr"/>
      <c r="C17" s="18" t="inlineStr">
        <is>
          <t>Placa Asus ROG STRIX X870E-E GAMING WIFI7 AM5</t>
        </is>
      </c>
      <c r="D17" s="16" t="inlineStr">
        <is>
          <t>Motherboard</t>
        </is>
      </c>
      <c r="E17" s="19" t="n">
        <v>1</v>
      </c>
      <c r="F17" s="20" t="n">
        <v>651</v>
      </c>
      <c r="G17" s="21">
        <f>E17*F17</f>
        <v/>
      </c>
      <c r="H17" s="18" t="inlineStr">
        <is>
          <t>Grupo Compu &amp; Visión</t>
        </is>
      </c>
      <c r="I17" s="18" t="inlineStr">
        <is>
          <t>Galería Compuplaza - Wilson 1251 #123</t>
        </is>
      </c>
      <c r="J17" s="24" t="inlineStr">
        <is>
          <t>STOCK BAJO</t>
        </is>
      </c>
      <c r="K17" s="23">
        <f>HYPERLINK("https://m.media-amazon.com/images/I/81c-99C1L2L._AC_SL1500_.jpg", "Ver Foto HD")</f>
        <v/>
      </c>
      <c r="L17" s="23">
        <f>HYPERLINK("https://compuvision.pe/producto/rog-x870e", "Ver en Grupo")</f>
        <v/>
      </c>
    </row>
    <row r="18" ht="45" customHeight="1">
      <c r="A18" s="16" t="n">
        <v>116</v>
      </c>
      <c r="B18" s="17" t="inlineStr"/>
      <c r="C18" s="18" t="inlineStr">
        <is>
          <t>Memoria RAM 32GB (2x16GB) Corsair Vengeance DDR5 6000MHz</t>
        </is>
      </c>
      <c r="D18" s="16" t="inlineStr">
        <is>
          <t>RAM</t>
        </is>
      </c>
      <c r="E18" s="19" t="n">
        <v>8</v>
      </c>
      <c r="F18" s="20" t="n">
        <v>135</v>
      </c>
      <c r="G18" s="21">
        <f>E18*F18</f>
        <v/>
      </c>
      <c r="H18" s="18" t="inlineStr">
        <is>
          <t>Grupo Compu &amp; Visión</t>
        </is>
      </c>
      <c r="I18" s="18" t="inlineStr">
        <is>
          <t>Galería Compuplaza - Wilson 1251 #123</t>
        </is>
      </c>
      <c r="J18" s="22" t="inlineStr">
        <is>
          <t>DISPONIBLE</t>
        </is>
      </c>
      <c r="K18" s="23">
        <f>HYPERLINK("https://m.media-amazon.com/images/I/61K5A-L+2oL._AC_SL1500_.jpg", "Ver Foto HD")</f>
        <v/>
      </c>
      <c r="L18" s="23">
        <f>HYPERLINK("https://compuvision.pe/producto/corsair-32gb-ddr5", "Ver en Grupo")</f>
        <v/>
      </c>
    </row>
    <row r="19" ht="45" customHeight="1">
      <c r="A19" s="16" t="n">
        <v>117</v>
      </c>
      <c r="B19" s="17" t="inlineStr"/>
      <c r="C19" s="18" t="inlineStr">
        <is>
          <t>Disco Sólido SSD 2TB Huadisk M.2 NVMe PCIe 4.0</t>
        </is>
      </c>
      <c r="D19" s="16" t="inlineStr">
        <is>
          <t>Almacenamiento</t>
        </is>
      </c>
      <c r="E19" s="19" t="n">
        <v>1</v>
      </c>
      <c r="F19" s="20" t="n">
        <v>330</v>
      </c>
      <c r="G19" s="21">
        <f>E19*F19</f>
        <v/>
      </c>
      <c r="H19" s="18" t="inlineStr">
        <is>
          <t>Grupo Compu &amp; Visión</t>
        </is>
      </c>
      <c r="I19" s="18" t="inlineStr">
        <is>
          <t>Galería Compuplaza - Wilson 1251 #123</t>
        </is>
      </c>
      <c r="J19" s="24" t="inlineStr">
        <is>
          <t>STOCK BAJO</t>
        </is>
      </c>
      <c r="K19" s="23">
        <f>HYPERLINK("https://m.media-amazon.com/images/I/61G+d2R4bTL._AC_SL1000_.jpg", "Ver Foto HD")</f>
        <v/>
      </c>
      <c r="L19" s="23">
        <f>HYPERLINK("https://compuvision.pe/producto/huadisk-2tb-nvme", "Ver en Grupo")</f>
        <v/>
      </c>
    </row>
    <row r="20" ht="45" customHeight="1">
      <c r="A20" s="16" t="n">
        <v>118</v>
      </c>
      <c r="B20" s="17" t="inlineStr"/>
      <c r="C20" s="18" t="inlineStr">
        <is>
          <t>Disco Sólido SSD 1TB Samsung 990 Pro M.2 NVMe 2.0</t>
        </is>
      </c>
      <c r="D20" s="16" t="inlineStr">
        <is>
          <t>Almacenamiento</t>
        </is>
      </c>
      <c r="E20" s="19" t="n">
        <v>4</v>
      </c>
      <c r="F20" s="20" t="n">
        <v>150</v>
      </c>
      <c r="G20" s="21">
        <f>E20*F20</f>
        <v/>
      </c>
      <c r="H20" s="18" t="inlineStr">
        <is>
          <t>Grupo Compu &amp; Visión</t>
        </is>
      </c>
      <c r="I20" s="18" t="inlineStr">
        <is>
          <t>Galería Compuplaza - Wilson 1251 #123</t>
        </is>
      </c>
      <c r="J20" s="22" t="inlineStr">
        <is>
          <t>DISPONIBLE</t>
        </is>
      </c>
      <c r="K20" s="23">
        <f>HYPERLINK("https://m.media-amazon.com/images/I/71oX6Z1T8BL._AC_SL1500_.jpg", "Ver Foto HD")</f>
        <v/>
      </c>
      <c r="L20" s="23">
        <f>HYPERLINK("https://compuvision.pe/producto/samsung-990-pro-1tb", "Ver en Grupo")</f>
        <v/>
      </c>
    </row>
    <row r="21" ht="45" customHeight="1">
      <c r="A21" s="16" t="n">
        <v>119</v>
      </c>
      <c r="B21" s="17" t="inlineStr"/>
      <c r="C21" s="18" t="inlineStr">
        <is>
          <t>Case Antec VCX100M 450W Micro-ATX 5 Fans RGB</t>
        </is>
      </c>
      <c r="D21" s="16" t="inlineStr">
        <is>
          <t>Case</t>
        </is>
      </c>
      <c r="E21" s="19" t="n">
        <v>1</v>
      </c>
      <c r="F21" s="20" t="n">
        <v>55</v>
      </c>
      <c r="G21" s="21">
        <f>E21*F21</f>
        <v/>
      </c>
      <c r="H21" s="18" t="inlineStr">
        <is>
          <t>SB Data</t>
        </is>
      </c>
      <c r="I21" s="18" t="inlineStr">
        <is>
          <t>Wilson 1236, Tienda 324 - Lima</t>
        </is>
      </c>
      <c r="J21" s="24" t="inlineStr">
        <is>
          <t>STOCK BAJO</t>
        </is>
      </c>
      <c r="K21" s="23">
        <f>HYPERLINK("https://m.media-amazon.com/images/I/71K2g7P2xTL._AC_SL1500_.jpg", "Ver Foto HD")</f>
        <v/>
      </c>
      <c r="L21" s="23">
        <f>HYPERLINK("https://sbdata.com.pe/producto/case-antec-450w", "Ver en SB")</f>
        <v/>
      </c>
    </row>
    <row r="22" ht="45" customHeight="1">
      <c r="A22" s="16" t="n">
        <v>120</v>
      </c>
      <c r="B22" s="17" t="inlineStr"/>
      <c r="C22" s="18" t="inlineStr">
        <is>
          <t>Case Antryx Elegant 630 350W ATX Mid Tower</t>
        </is>
      </c>
      <c r="D22" s="16" t="inlineStr">
        <is>
          <t>Case</t>
        </is>
      </c>
      <c r="E22" s="19" t="n">
        <v>7</v>
      </c>
      <c r="F22" s="20" t="n">
        <v>41.5</v>
      </c>
      <c r="G22" s="21">
        <f>E22*F22</f>
        <v/>
      </c>
      <c r="H22" s="18" t="inlineStr">
        <is>
          <t>SB Data</t>
        </is>
      </c>
      <c r="I22" s="18" t="inlineStr">
        <is>
          <t>Wilson 1236, Tienda 324 - Lima</t>
        </is>
      </c>
      <c r="J22" s="22" t="inlineStr">
        <is>
          <t>DISPONIBLE</t>
        </is>
      </c>
      <c r="K22" s="23">
        <f>HYPERLINK("https://m.media-amazon.com/images/I/61dG7b2S8ML._AC_SL1000_.jpg", "Ver Foto HD")</f>
        <v/>
      </c>
      <c r="L22" s="23">
        <f>HYPERLINK("https://sbdata.com.pe/producto/case-antryx-elegant", "Ver en SB")</f>
        <v/>
      </c>
    </row>
    <row r="23" ht="45" customHeight="1">
      <c r="A23" s="16" t="n">
        <v>121</v>
      </c>
      <c r="B23" s="17" t="inlineStr"/>
      <c r="C23" s="18" t="inlineStr">
        <is>
          <t>Cooler CPU Thermalright Peerless Assassin 120 SE Dual Tower</t>
        </is>
      </c>
      <c r="D23" s="16" t="inlineStr">
        <is>
          <t>Enfriamiento</t>
        </is>
      </c>
      <c r="E23" s="19" t="n">
        <v>2</v>
      </c>
      <c r="F23" s="20" t="n">
        <v>106.73</v>
      </c>
      <c r="G23" s="21">
        <f>E23*F23</f>
        <v/>
      </c>
      <c r="H23" s="18" t="inlineStr">
        <is>
          <t>SB Data</t>
        </is>
      </c>
      <c r="I23" s="18" t="inlineStr">
        <is>
          <t>Wilson 1236, Tienda 324 - Lima</t>
        </is>
      </c>
      <c r="J23" s="24" t="inlineStr">
        <is>
          <t>STOCK BAJO</t>
        </is>
      </c>
      <c r="K23" s="23">
        <f>HYPERLINK("https://m.media-amazon.com/images/I/71R2c8k1a2L._AC_SL1500_.jpg", "Ver Foto HD")</f>
        <v/>
      </c>
      <c r="L23" s="23">
        <f>HYPERLINK("https://sbdata.com.pe/producto/thermalright-pa120", "Ver en SB")</f>
        <v/>
      </c>
    </row>
    <row r="24" ht="45" customHeight="1">
      <c r="A24" s="16" t="n">
        <v>122</v>
      </c>
      <c r="B24" s="17" t="inlineStr"/>
      <c r="C24" s="18" t="inlineStr">
        <is>
          <t>Mainboard Gigabyte B760M E DDR5 LGA 1700 mATX</t>
        </is>
      </c>
      <c r="D24" s="16" t="inlineStr">
        <is>
          <t>Motherboard</t>
        </is>
      </c>
      <c r="E24" s="19" t="n">
        <v>4</v>
      </c>
      <c r="F24" s="20" t="n">
        <v>107.1</v>
      </c>
      <c r="G24" s="21">
        <f>E24*F24</f>
        <v/>
      </c>
      <c r="H24" s="18" t="inlineStr">
        <is>
          <t>SB Data</t>
        </is>
      </c>
      <c r="I24" s="18" t="inlineStr">
        <is>
          <t>Wilson 1236, Tienda 324 - Lima</t>
        </is>
      </c>
      <c r="J24" s="22" t="inlineStr">
        <is>
          <t>DISPONIBLE</t>
        </is>
      </c>
      <c r="K24" s="23">
        <f>HYPERLINK("https://m.media-amazon.com/images/I/81+c7B2527L._AC_SL1500_.jpg", "Ver Foto HD")</f>
        <v/>
      </c>
      <c r="L24" s="23">
        <f>HYPERLINK("https://sbdata.com.pe/producto/gigabyte-b760m", "Ver en SB")</f>
        <v/>
      </c>
    </row>
    <row r="25" ht="45" customHeight="1">
      <c r="A25" s="16" t="n">
        <v>123</v>
      </c>
      <c r="B25" s="17" t="inlineStr"/>
      <c r="C25" s="18" t="inlineStr">
        <is>
          <t>Mainboard Gigabyte H810M K DDR5 LGA 1851 Intel Core Ultra</t>
        </is>
      </c>
      <c r="D25" s="16" t="inlineStr">
        <is>
          <t>Motherboard</t>
        </is>
      </c>
      <c r="E25" s="19" t="n">
        <v>4</v>
      </c>
      <c r="F25" s="20" t="n">
        <v>95.03</v>
      </c>
      <c r="G25" s="21">
        <f>E25*F25</f>
        <v/>
      </c>
      <c r="H25" s="18" t="inlineStr">
        <is>
          <t>SB Data</t>
        </is>
      </c>
      <c r="I25" s="18" t="inlineStr">
        <is>
          <t>Wilson 1236, Tienda 324 - Lima</t>
        </is>
      </c>
      <c r="J25" s="22" t="inlineStr">
        <is>
          <t>DISPONIBLE</t>
        </is>
      </c>
      <c r="K25" s="23">
        <f>HYPERLINK("https://m.media-amazon.com/images/I/81+c7B2527L._AC_SL1500_.jpg", "Ver Foto HD")</f>
        <v/>
      </c>
      <c r="L25" s="23">
        <f>HYPERLINK("https://sbdata.com.pe/producto/gigabyte-h810m", "Ver en SB")</f>
        <v/>
      </c>
    </row>
    <row r="26" ht="45" customHeight="1">
      <c r="A26" s="16" t="n">
        <v>124</v>
      </c>
      <c r="B26" s="17" t="inlineStr"/>
      <c r="C26" s="18" t="inlineStr">
        <is>
          <t>Memoria RAM 16GB DDR4 Hiksemi Armor Black 3200MHz</t>
        </is>
      </c>
      <c r="D26" s="16" t="inlineStr">
        <is>
          <t>RAM</t>
        </is>
      </c>
      <c r="E26" s="19" t="n">
        <v>5</v>
      </c>
      <c r="F26" s="20" t="n">
        <v>139</v>
      </c>
      <c r="G26" s="21">
        <f>E26*F26</f>
        <v/>
      </c>
      <c r="H26" s="18" t="inlineStr">
        <is>
          <t>SB Data</t>
        </is>
      </c>
      <c r="I26" s="18" t="inlineStr">
        <is>
          <t>Wilson 1236, Tienda 324 - Lima</t>
        </is>
      </c>
      <c r="J26" s="22" t="inlineStr">
        <is>
          <t>DISPONIBLE</t>
        </is>
      </c>
      <c r="K26" s="23">
        <f>HYPERLINK("https://m.media-amazon.com/images/I/61fK9+3Zc2L._AC_SL1000_.jpg", "Ver Foto HD")</f>
        <v/>
      </c>
      <c r="L26" s="23">
        <f>HYPERLINK("https://sbdata.com.pe/producto/hiksemi-16gb-ddr4", "Ver en SB")</f>
        <v/>
      </c>
    </row>
    <row r="27" ht="45" customHeight="1">
      <c r="A27" s="16" t="n">
        <v>125</v>
      </c>
      <c r="B27" s="17" t="inlineStr"/>
      <c r="C27" s="18" t="inlineStr">
        <is>
          <t>Mainboard MSI A520M-A PRO Socket AM4 DDR4</t>
        </is>
      </c>
      <c r="D27" s="16" t="inlineStr">
        <is>
          <t>Motherboard</t>
        </is>
      </c>
      <c r="E27" s="19" t="n">
        <v>15</v>
      </c>
      <c r="F27" s="20" t="n">
        <v>53.75</v>
      </c>
      <c r="G27" s="21">
        <f>E27*F27</f>
        <v/>
      </c>
      <c r="H27" s="18" t="inlineStr">
        <is>
          <t>Infotec Perú</t>
        </is>
      </c>
      <c r="I27" s="18" t="inlineStr">
        <is>
          <t>Lima - Grupo Infotec</t>
        </is>
      </c>
      <c r="J27" s="22" t="inlineStr">
        <is>
          <t>DISPONIBLE</t>
        </is>
      </c>
      <c r="K27" s="23">
        <f>HYPERLINK("https://m.media-amazon.com/images/I/81b2K2+d8AL._AC_SL1500_.jpg", "Ver Foto HD")</f>
        <v/>
      </c>
      <c r="L27" s="23">
        <f>HYPERLINK("https://infotec.com.pe/producto/msi-a520m-a-pro", "Ver en Infotec")</f>
        <v/>
      </c>
    </row>
    <row r="28" ht="45" customHeight="1">
      <c r="A28" s="16" t="n">
        <v>126</v>
      </c>
      <c r="B28" s="17" t="inlineStr"/>
      <c r="C28" s="18" t="inlineStr">
        <is>
          <t>Mainboard ASUS PRIME A520M-K AMD Ryzen AM4</t>
        </is>
      </c>
      <c r="D28" s="16" t="inlineStr">
        <is>
          <t>Motherboard</t>
        </is>
      </c>
      <c r="E28" s="19" t="n">
        <v>12</v>
      </c>
      <c r="F28" s="20" t="n">
        <v>56.5</v>
      </c>
      <c r="G28" s="21">
        <f>E28*F28</f>
        <v/>
      </c>
      <c r="H28" s="18" t="inlineStr">
        <is>
          <t>Infotec Perú</t>
        </is>
      </c>
      <c r="I28" s="18" t="inlineStr">
        <is>
          <t>Lima - Grupo Infotec</t>
        </is>
      </c>
      <c r="J28" s="22" t="inlineStr">
        <is>
          <t>DISPONIBLE</t>
        </is>
      </c>
      <c r="K28" s="23">
        <f>HYPERLINK("https://m.media-amazon.com/images/I/81x-9L2C9GL._AC_SL1500_.jpg", "Ver Foto HD")</f>
        <v/>
      </c>
      <c r="L28" s="23">
        <f>HYPERLINK("https://infotec.com.pe/producto/asus-prime-a520m-k", "Ver en Infotec")</f>
        <v/>
      </c>
    </row>
    <row r="29" ht="45" customHeight="1">
      <c r="A29" s="16" t="n">
        <v>127</v>
      </c>
      <c r="B29" s="17" t="inlineStr"/>
      <c r="C29" s="18" t="inlineStr">
        <is>
          <t>Mouse Logitech G203 Lightsync Optical 8000 DPI RGB</t>
        </is>
      </c>
      <c r="D29" s="16" t="inlineStr">
        <is>
          <t>Periféricos</t>
        </is>
      </c>
      <c r="E29" s="19" t="n">
        <v>20</v>
      </c>
      <c r="F29" s="20" t="n">
        <v>24</v>
      </c>
      <c r="G29" s="21">
        <f>E29*F29</f>
        <v/>
      </c>
      <c r="H29" s="18" t="inlineStr">
        <is>
          <t>Rayotec</t>
        </is>
      </c>
      <c r="I29" s="18" t="inlineStr">
        <is>
          <t>RUC 20608329839 - Grupo M&amp;V</t>
        </is>
      </c>
      <c r="J29" s="22" t="inlineStr">
        <is>
          <t>DISPONIBLE</t>
        </is>
      </c>
      <c r="K29" s="23">
        <f>HYPERLINK("https://m.media-amazon.com/images/I/61UxfXTUyvL._AC_SL1500_.jpg", "Ver Foto HD")</f>
        <v/>
      </c>
      <c r="L29" s="23">
        <f>HYPERLINK("https://rayotec.pe/producto/mouse-logitech-g203", "Ver en Rayotec")</f>
        <v/>
      </c>
    </row>
    <row r="30" ht="45" customHeight="1">
      <c r="A30" s="16" t="n">
        <v>128</v>
      </c>
      <c r="B30" s="17" t="inlineStr"/>
      <c r="C30" s="18" t="inlineStr">
        <is>
          <t>Fuente de Poder Gigabyte 850W 80+ Gold (GP-UD850GM)</t>
        </is>
      </c>
      <c r="D30" s="16" t="inlineStr">
        <is>
          <t>Fuentes</t>
        </is>
      </c>
      <c r="E30" s="19" t="n">
        <v>8</v>
      </c>
      <c r="F30" s="20" t="n">
        <v>110.8</v>
      </c>
      <c r="G30" s="21">
        <f>E30*F30</f>
        <v/>
      </c>
      <c r="H30" s="18" t="inlineStr">
        <is>
          <t>Rayotec</t>
        </is>
      </c>
      <c r="I30" s="18" t="inlineStr">
        <is>
          <t>RUC 20608329839 - Grupo M&amp;V</t>
        </is>
      </c>
      <c r="J30" s="22" t="inlineStr">
        <is>
          <t>DISPONIBLE</t>
        </is>
      </c>
      <c r="K30" s="23">
        <f>HYPERLINK("https://m.media-amazon.com/images/I/71f-51v5C2L._AC_SL1500_.jpg", "Ver Foto HD")</f>
        <v/>
      </c>
      <c r="L30" s="23">
        <f>HYPERLINK("https://rayotec.pe/producto/fuente-gigabyte-850w", "Ver en Rayotec")</f>
        <v/>
      </c>
    </row>
    <row r="31" ht="25" customHeight="1">
      <c r="A31" s="25" t="inlineStr"/>
      <c r="B31" s="25" t="inlineStr"/>
      <c r="C31" s="26" t="inlineStr">
        <is>
          <t>TOTAL ACUMULADO INVENTARIO</t>
        </is>
      </c>
      <c r="D31" s="25" t="inlineStr"/>
      <c r="E31" s="27">
        <f>SUM(E3:E30)</f>
        <v/>
      </c>
      <c r="F31" s="25" t="inlineStr"/>
      <c r="G31" s="28">
        <f>SUM(G3:G30)</f>
        <v/>
      </c>
      <c r="H31" s="25" t="inlineStr"/>
      <c r="I31" s="25" t="inlineStr"/>
      <c r="J31" s="25" t="inlineStr"/>
      <c r="K31" s="25" t="inlineStr"/>
      <c r="L31" s="2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8" customWidth="1" min="3" max="3"/>
    <col width="14" customWidth="1" min="4" max="4"/>
    <col width="18" customWidth="1" min="5" max="5"/>
    <col width="45" customWidth="1" min="6" max="6"/>
    <col width="32" customWidth="1" min="7" max="7"/>
    <col width="24" customWidth="1" min="8" max="8"/>
  </cols>
  <sheetData>
    <row r="1">
      <c r="A1" s="4" t="inlineStr">
        <is>
          <t>ID</t>
        </is>
      </c>
      <c r="B1" s="4" t="inlineStr">
        <is>
          <t>Nombre Comercial de la Tienda</t>
        </is>
      </c>
      <c r="C1" s="4" t="inlineStr">
        <is>
          <t>Dirección / Ubicación Física</t>
        </is>
      </c>
      <c r="D1" s="4" t="inlineStr">
        <is>
          <t>Estado</t>
        </is>
      </c>
      <c r="E1" s="4" t="inlineStr">
        <is>
          <t>Teléfono de Contacto</t>
        </is>
      </c>
      <c r="F1" s="4" t="inlineStr">
        <is>
          <t>Garantía &amp; Servicios</t>
        </is>
      </c>
      <c r="G1" s="4" t="inlineStr">
        <is>
          <t>Sitio Web / Catálogo Online (URL)</t>
        </is>
      </c>
      <c r="H1" s="4" t="inlineStr">
        <is>
          <t>Mapa GPS / Ubicación (URL)</t>
        </is>
      </c>
    </row>
    <row r="2"/>
    <row r="3" ht="22" customHeight="1">
      <c r="A3" s="16" t="n">
        <v>1</v>
      </c>
      <c r="B3" s="17" t="inlineStr">
        <is>
          <t>CompuSearch Central</t>
        </is>
      </c>
      <c r="C3" s="17" t="inlineStr">
        <is>
          <t>Av. Principal 123 - San Isidro, Lima</t>
        </is>
      </c>
      <c r="D3" s="22" t="inlineStr">
        <is>
          <t>ACTIVO</t>
        </is>
      </c>
      <c r="E3" s="17" t="inlineStr">
        <is>
          <t>555-0101</t>
        </is>
      </c>
      <c r="F3" s="17" t="inlineStr">
        <is>
          <t>Garantía Oficial 1 año / Envíos Lima</t>
        </is>
      </c>
      <c r="G3" s="23">
        <f>HYPERLINK("https://compusearch.com/tiendas/central", "Web CompuSearch")</f>
        <v/>
      </c>
      <c r="H3" s="23">
        <f>HYPERLINK("https://maps.google.com/?q=San+Isidro+Lima", "Ver Mapa GPS")</f>
        <v/>
      </c>
    </row>
    <row r="4" ht="22" customHeight="1">
      <c r="A4" s="16" t="n">
        <v>2</v>
      </c>
      <c r="B4" s="17" t="inlineStr">
        <is>
          <t>CompuSearch Norte</t>
        </is>
      </c>
      <c r="C4" s="17" t="inlineStr">
        <is>
          <t>Plaza Mayor 456 - Los Olivos, Lima</t>
        </is>
      </c>
      <c r="D4" s="24" t="inlineStr">
        <is>
          <t>INACTIVO</t>
        </is>
      </c>
      <c r="E4" s="17" t="inlineStr">
        <is>
          <t>555-0202</t>
        </is>
      </c>
      <c r="F4" s="17" t="inlineStr">
        <is>
          <t>Soporte Local</t>
        </is>
      </c>
      <c r="G4" s="23">
        <f>HYPERLINK("https://compusearch.com/tiendas/norte", "Web CompuSearch")</f>
        <v/>
      </c>
      <c r="H4" s="23">
        <f>HYPERLINK("https://maps.google.com/?q=Los+Olivos+Lima", "Ver Mapa GPS")</f>
        <v/>
      </c>
    </row>
    <row r="5" ht="22" customHeight="1">
      <c r="A5" s="16" t="n">
        <v>3</v>
      </c>
      <c r="B5" s="17" t="inlineStr">
        <is>
          <t>pc Factory Perú</t>
        </is>
      </c>
      <c r="C5" s="17" t="inlineStr">
        <is>
          <t>Plaza San Miguel / Jockey Plaza / Comas</t>
        </is>
      </c>
      <c r="D5" s="22" t="inlineStr">
        <is>
          <t>ACTIVO</t>
        </is>
      </c>
      <c r="E5" s="17" t="inlineStr">
        <is>
          <t>+51 1 7161666</t>
        </is>
      </c>
      <c r="F5" s="17" t="inlineStr">
        <is>
          <t>Garantía Retail / Boleta / Factura / Asesoría</t>
        </is>
      </c>
      <c r="G5" s="23">
        <f>HYPERLINK("https://www.pcfactory.com.pe", "Web pc")</f>
        <v/>
      </c>
      <c r="H5" s="23">
        <f>HYPERLINK("https://maps.google.com/?q=Plaza+San+Miguel+Lima", "Ver Mapa GPS")</f>
        <v/>
      </c>
    </row>
    <row r="6" ht="22" customHeight="1">
      <c r="A6" s="16" t="n">
        <v>4</v>
      </c>
      <c r="B6" s="17" t="inlineStr">
        <is>
          <t>Grupo Compu &amp; Visión</t>
        </is>
      </c>
      <c r="C6" s="17" t="inlineStr">
        <is>
          <t>Av. Garcilaso de la Vega 1251, Tienda #123 (Compuplaza)</t>
        </is>
      </c>
      <c r="D6" s="22" t="inlineStr">
        <is>
          <t>ACTIVO</t>
        </is>
      </c>
      <c r="E6" s="17" t="inlineStr">
        <is>
          <t>987 163 458</t>
        </is>
      </c>
      <c r="F6" s="17" t="inlineStr">
        <is>
          <t>Importación directa / Venta componentes</t>
        </is>
      </c>
      <c r="G6" s="23">
        <f>HYPERLINK("https://compuvision.pe", "Web Grupo")</f>
        <v/>
      </c>
      <c r="H6" s="23">
        <f>HYPERLINK("https://maps.google.com/?q=Av.+Garcilaso+de+la+Vega+1251+Lima", "Ver Mapa GPS")</f>
        <v/>
      </c>
    </row>
    <row r="7" ht="22" customHeight="1">
      <c r="A7" s="16" t="n">
        <v>5</v>
      </c>
      <c r="B7" s="17" t="inlineStr">
        <is>
          <t>SB Data</t>
        </is>
      </c>
      <c r="C7" s="17" t="inlineStr">
        <is>
          <t>Av. Garcilaso de la Vega 1236, Tienda 324 (Wilson)</t>
        </is>
      </c>
      <c r="D7" s="22" t="inlineStr">
        <is>
          <t>ACTIVO</t>
        </is>
      </c>
      <c r="E7" s="17" t="inlineStr">
        <is>
          <t>994 061 341</t>
        </is>
      </c>
      <c r="F7" s="17" t="inlineStr">
        <is>
          <t>Armado de PC / Cotización por WhatsApp</t>
        </is>
      </c>
      <c r="G7" s="23">
        <f>HYPERLINK("https://sbdata.com.pe", "Web SB")</f>
        <v/>
      </c>
      <c r="H7" s="23">
        <f>HYPERLINK("https://maps.google.com/?q=Av.+Garcilaso+de+la+Vega+1236+Lima", "Ver Mapa GPS")</f>
        <v/>
      </c>
    </row>
    <row r="8" ht="22" customHeight="1">
      <c r="A8" s="16" t="n">
        <v>6</v>
      </c>
      <c r="B8" s="17" t="inlineStr">
        <is>
          <t>Infotec Perú</t>
        </is>
      </c>
      <c r="C8" s="17" t="inlineStr">
        <is>
          <t>Grupo Infotec - Tienda Virtual y Física Lima</t>
        </is>
      </c>
      <c r="D8" s="22" t="inlineStr">
        <is>
          <t>ACTIVO</t>
        </is>
      </c>
      <c r="E8" s="17" t="inlineStr">
        <is>
          <t>935 715 405</t>
        </is>
      </c>
      <c r="F8" s="17" t="inlineStr">
        <is>
          <t>Distribuidor autorizado Intel y AMD</t>
        </is>
      </c>
      <c r="G8" s="23">
        <f>HYPERLINK("https://infotec.com.pe", "Web Infotec")</f>
        <v/>
      </c>
      <c r="H8" s="23">
        <f>HYPERLINK("https://maps.google.com/?q=Infotec+Lima", "Ver Mapa GPS")</f>
        <v/>
      </c>
    </row>
    <row r="9" ht="22" customHeight="1">
      <c r="A9" s="16" t="n">
        <v>7</v>
      </c>
      <c r="B9" s="17" t="inlineStr">
        <is>
          <t>Rayotec</t>
        </is>
      </c>
      <c r="C9" s="17" t="inlineStr">
        <is>
          <t>RUC 20608329839 - Grupo Tecnológico M&amp;V S.A.C.</t>
        </is>
      </c>
      <c r="D9" s="22" t="inlineStr">
        <is>
          <t>ACTIVO</t>
        </is>
      </c>
      <c r="E9" s="17" t="inlineStr">
        <is>
          <t>974 578 820</t>
        </is>
      </c>
      <c r="F9" s="17" t="inlineStr">
        <is>
          <t>Acepta MercadoPago / Envíos a provincia</t>
        </is>
      </c>
      <c r="G9" s="23">
        <f>HYPERLINK("https://rayotec.pe", "Web Rayotec")</f>
        <v/>
      </c>
      <c r="H9" s="23">
        <f>HYPERLINK("https://maps.google.com/?q=Rayotec+Lima", "Ver Mapa GPS")</f>
        <v/>
      </c>
    </row>
    <row r="10" ht="22" customHeight="1">
      <c r="A10" s="16" t="n">
        <v>8</v>
      </c>
      <c r="B10" s="17" t="inlineStr">
        <is>
          <t>Memory Kings</t>
        </is>
      </c>
      <c r="C10" s="17" t="inlineStr">
        <is>
          <t>Minorista Mayorista Wilson / Tienda Online</t>
        </is>
      </c>
      <c r="D10" s="22" t="inlineStr">
        <is>
          <t>ACTIVO</t>
        </is>
      </c>
      <c r="E10" s="17" t="inlineStr">
        <is>
          <t>(01) 619-3000</t>
        </is>
      </c>
      <c r="F10" s="17" t="inlineStr">
        <is>
          <t>Garantía extendida en componentes</t>
        </is>
      </c>
      <c r="G10" s="23">
        <f>HYPERLINK("https://www.memorykings.com.pe", "Web Memory")</f>
        <v/>
      </c>
      <c r="H10" s="23">
        <f>HYPERLINK("https://maps.google.com/?q=Memory+Kings+Wilson+Lima", "Ver Mapa GPS")</f>
        <v/>
      </c>
    </row>
    <row r="11" ht="22" customHeight="1">
      <c r="A11" s="16" t="n">
        <v>9</v>
      </c>
      <c r="B11" s="17" t="inlineStr">
        <is>
          <t>SercoPlus</t>
        </is>
      </c>
      <c r="C11" s="17" t="inlineStr">
        <is>
          <t>Galería CompuPlaza - Wilson, Lima</t>
        </is>
      </c>
      <c r="D11" s="22" t="inlineStr">
        <is>
          <t>ACTIVO</t>
        </is>
      </c>
      <c r="E11" s="17" t="inlineStr">
        <is>
          <t>(01) 423-1122</t>
        </is>
      </c>
      <c r="F11" s="17" t="inlineStr">
        <is>
          <t>Garantía oficial de 1 año en hardware</t>
        </is>
      </c>
      <c r="G11" s="23">
        <f>HYPERLINK("https://www.sercoplus.com", "Web SercoPlus")</f>
        <v/>
      </c>
      <c r="H11" s="23">
        <f>HYPERLINK("https://maps.google.com/?q=SercoPlus+Wilson+Lima", "Ver Mapa GPS")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0" customWidth="1" min="3" max="3"/>
    <col width="18" customWidth="1" min="4" max="4"/>
    <col width="20" customWidth="1" min="5" max="5"/>
    <col width="87" customWidth="1" min="6" max="6"/>
  </cols>
  <sheetData>
    <row r="1">
      <c r="A1" s="4" t="inlineStr">
        <is>
          <t>ID</t>
        </is>
      </c>
      <c r="B1" s="4" t="inlineStr">
        <is>
          <t>Nombre de Usuario</t>
        </is>
      </c>
      <c r="C1" s="4" t="inlineStr">
        <is>
          <t>Correo Electrónico (Email)</t>
        </is>
      </c>
      <c r="D1" s="4" t="inlineStr">
        <is>
          <t>Rol de Sistema</t>
        </is>
      </c>
      <c r="E1" s="4" t="inlineStr">
        <is>
          <t>Estado de Cuenta</t>
        </is>
      </c>
      <c r="F1" s="4" t="inlineStr">
        <is>
          <t>Perfil Avatar (URL)</t>
        </is>
      </c>
    </row>
    <row r="2"/>
    <row r="3">
      <c r="A3" s="29" t="n">
        <v>1</v>
      </c>
      <c r="B3" s="17" t="inlineStr">
        <is>
          <t>Admin Prueba</t>
        </is>
      </c>
      <c r="C3" s="17" t="inlineStr">
        <is>
          <t>admin@compusearch.com</t>
        </is>
      </c>
      <c r="D3" s="17" t="inlineStr">
        <is>
          <t>ADMIN</t>
        </is>
      </c>
      <c r="E3" s="29" t="inlineStr">
        <is>
          <t>ACTIVO</t>
        </is>
      </c>
      <c r="F3" s="30">
        <f>HYPERLINK("https://cdn-icons-png.flaticon.com/512/3135/3135715.png", "Ver Avatar")</f>
        <v/>
      </c>
    </row>
    <row r="4">
      <c r="A4" s="29" t="n">
        <v>2</v>
      </c>
      <c r="B4" s="17" t="inlineStr">
        <is>
          <t>Cliente Prueba</t>
        </is>
      </c>
      <c r="C4" s="17" t="inlineStr">
        <is>
          <t>cliente@compusearch.com</t>
        </is>
      </c>
      <c r="D4" s="17" t="inlineStr">
        <is>
          <t>CLIENTE</t>
        </is>
      </c>
      <c r="E4" s="29" t="inlineStr">
        <is>
          <t>ACTIVO</t>
        </is>
      </c>
      <c r="F4" s="30">
        <f>HYPERLINK("https://cdn-icons-png.flaticon.com/512/3135/3135768.png", "Ver Avatar")</f>
        <v/>
      </c>
    </row>
    <row r="5">
      <c r="A5" s="29" t="n">
        <v>3</v>
      </c>
      <c r="B5" s="17" t="inlineStr">
        <is>
          <t>Soporte Técnico</t>
        </is>
      </c>
      <c r="C5" s="17" t="inlineStr">
        <is>
          <t>soporte@compusearch.com</t>
        </is>
      </c>
      <c r="D5" s="17" t="inlineStr">
        <is>
          <t>SOPORTE</t>
        </is>
      </c>
      <c r="E5" s="29" t="inlineStr">
        <is>
          <t>ACTIVO</t>
        </is>
      </c>
      <c r="F5" s="30">
        <f>HYPERLINK("https://cdn-icons-png.flaticon.com/512/3135/3135789.png", "Ver Avatar")</f>
        <v/>
      </c>
    </row>
    <row r="6">
      <c r="A6" s="29" t="n">
        <v>4</v>
      </c>
      <c r="B6" s="17" t="inlineStr">
        <is>
          <t>Vendedor Wilson</t>
        </is>
      </c>
      <c r="C6" s="17" t="inlineStr">
        <is>
          <t>ventas@compusearch.com</t>
        </is>
      </c>
      <c r="D6" s="17" t="inlineStr">
        <is>
          <t>VENDEDOR</t>
        </is>
      </c>
      <c r="E6" s="29" t="inlineStr">
        <is>
          <t>ACTIVO</t>
        </is>
      </c>
      <c r="F6" s="30">
        <f>HYPERLINK("https://cdn-icons-png.flaticon.com/512/3135/3135823.png", "Ver Avatar")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23" customWidth="1" min="4" max="4"/>
    <col width="12" customWidth="1" min="5" max="5"/>
  </cols>
  <sheetData>
    <row r="1">
      <c r="A1" s="4" t="inlineStr">
        <is>
          <t>ID</t>
        </is>
      </c>
      <c r="B1" s="4" t="inlineStr">
        <is>
          <t>Nombre del Empleado</t>
        </is>
      </c>
      <c r="C1" s="4" t="inlineStr">
        <is>
          <t>Puesto / Cargo</t>
        </is>
      </c>
      <c r="D1" s="4" t="inlineStr">
        <is>
          <t>Sede Asignada</t>
        </is>
      </c>
      <c r="E1" s="4" t="inlineStr">
        <is>
          <t>Estado</t>
        </is>
      </c>
    </row>
    <row r="2"/>
    <row r="3">
      <c r="A3" s="29" t="n">
        <v>1</v>
      </c>
      <c r="B3" s="17" t="inlineStr">
        <is>
          <t>Juan Técnico</t>
        </is>
      </c>
      <c r="C3" s="17" t="inlineStr">
        <is>
          <t>Soporte Nivel 2</t>
        </is>
      </c>
      <c r="D3" s="17" t="inlineStr">
        <is>
          <t>CompuSearch Central</t>
        </is>
      </c>
      <c r="E3" s="29" t="inlineStr">
        <is>
          <t>ACTIVO</t>
        </is>
      </c>
    </row>
    <row r="4">
      <c r="A4" s="29" t="n">
        <v>2</v>
      </c>
      <c r="B4" s="17" t="inlineStr">
        <is>
          <t>María Asesora</t>
        </is>
      </c>
      <c r="C4" s="17" t="inlineStr">
        <is>
          <t>Atención al Cliente</t>
        </is>
      </c>
      <c r="D4" s="17" t="inlineStr">
        <is>
          <t>pc Factory Perú</t>
        </is>
      </c>
      <c r="E4" s="29" t="inlineStr">
        <is>
          <t>ACTIVO</t>
        </is>
      </c>
    </row>
    <row r="5">
      <c r="A5" s="29" t="n">
        <v>3</v>
      </c>
      <c r="B5" s="17" t="inlineStr">
        <is>
          <t>Carlos Armador</t>
        </is>
      </c>
      <c r="C5" s="17" t="inlineStr">
        <is>
          <t>Especialista Ensamble PC</t>
        </is>
      </c>
      <c r="D5" s="17" t="inlineStr">
        <is>
          <t>SB Data Wilson</t>
        </is>
      </c>
      <c r="E5" s="29" t="inlineStr">
        <is>
          <t>ACTIVO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13" customWidth="1" min="3" max="3"/>
    <col width="18" customWidth="1" min="4" max="4"/>
    <col width="13" customWidth="1" min="5" max="5"/>
  </cols>
  <sheetData>
    <row r="1">
      <c r="A1" s="4" t="inlineStr">
        <is>
          <t>ID</t>
        </is>
      </c>
      <c r="B1" s="4" t="inlineStr">
        <is>
          <t>Título del Incidente</t>
        </is>
      </c>
      <c r="C1" s="4" t="inlineStr">
        <is>
          <t>Estado</t>
        </is>
      </c>
      <c r="D1" s="4" t="inlineStr">
        <is>
          <t>Fecha Registro</t>
        </is>
      </c>
      <c r="E1" s="4" t="inlineStr">
        <is>
          <t>Prioridad</t>
        </is>
      </c>
    </row>
    <row r="2"/>
    <row r="3">
      <c r="A3" s="29" t="n">
        <v>1</v>
      </c>
      <c r="B3" s="17" t="inlineStr">
        <is>
          <t>Fallo en servidor de base de datos</t>
        </is>
      </c>
      <c r="C3" s="29" t="inlineStr">
        <is>
          <t>PENDIENTE</t>
        </is>
      </c>
      <c r="D3" s="29" t="inlineStr">
        <is>
          <t>2026-10-01</t>
        </is>
      </c>
      <c r="E3" s="29" t="inlineStr">
        <is>
          <t>ALTA</t>
        </is>
      </c>
    </row>
    <row r="4">
      <c r="A4" s="29" t="n">
        <v>2</v>
      </c>
      <c r="B4" s="17" t="inlineStr">
        <is>
          <t>Actualización de catálogo de componentes Wilson</t>
        </is>
      </c>
      <c r="C4" s="29" t="inlineStr">
        <is>
          <t>RESUELTO</t>
        </is>
      </c>
      <c r="D4" s="29" t="inlineStr">
        <is>
          <t>2026-09-28</t>
        </is>
      </c>
      <c r="E4" s="29" t="inlineStr">
        <is>
          <t>MEDIA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38" customWidth="1" min="4" max="4"/>
    <col width="18" customWidth="1" min="5" max="5"/>
  </cols>
  <sheetData>
    <row r="1">
      <c r="A1" s="3" t="inlineStr">
        <is>
          <t>CATEGORÍAS DE PRODUCTOS DE HARDWARE</t>
        </is>
      </c>
    </row>
    <row r="2">
      <c r="A2" s="4" t="inlineStr">
        <is>
          <t>ID</t>
        </is>
      </c>
      <c r="B2" s="4" t="inlineStr">
        <is>
          <t>Nombre de Categoría</t>
        </is>
      </c>
      <c r="C2" s="4" t="inlineStr">
        <is>
          <t>Código / Ícono</t>
        </is>
      </c>
      <c r="D2" s="4" t="inlineStr">
        <is>
          <t>Enlace Ícono / Imagen de Categoría (URL)</t>
        </is>
      </c>
      <c r="E2" s="4" t="inlineStr">
        <is>
          <t>Vista Previa</t>
        </is>
      </c>
    </row>
    <row r="3" ht="25" customHeight="1">
      <c r="A3" s="16" t="n">
        <v>1</v>
      </c>
      <c r="B3" s="17" t="inlineStr">
        <is>
          <t>Procesadores (CPU)</t>
        </is>
      </c>
      <c r="C3" s="16" t="inlineStr">
        <is>
          <t>cpu</t>
        </is>
      </c>
      <c r="D3" s="23">
        <f>HYPERLINK("https://cdn-icons-png.flaticon.com/512/2004/2004699.png", "Ver Ícono CPU")</f>
        <v/>
      </c>
      <c r="E3" s="17" t="inlineStr"/>
    </row>
    <row r="4" ht="25" customHeight="1">
      <c r="A4" s="16" t="n">
        <v>2</v>
      </c>
      <c r="B4" s="17" t="inlineStr">
        <is>
          <t>Tarjetas Gráficas (GPU)</t>
        </is>
      </c>
      <c r="C4" s="16" t="inlineStr">
        <is>
          <t>gpu</t>
        </is>
      </c>
      <c r="D4" s="23">
        <f>HYPERLINK("https://cdn-icons-png.flaticon.com/512/2004/2004724.png", "Ver Ícono GPU")</f>
        <v/>
      </c>
      <c r="E4" s="17" t="inlineStr"/>
    </row>
    <row r="5" ht="25" customHeight="1">
      <c r="A5" s="16" t="n">
        <v>3</v>
      </c>
      <c r="B5" s="17" t="inlineStr">
        <is>
          <t>Memoria RAM</t>
        </is>
      </c>
      <c r="C5" s="16" t="inlineStr">
        <is>
          <t>ram</t>
        </is>
      </c>
      <c r="D5" s="23">
        <f>HYPERLINK("https://cdn-icons-png.flaticon.com/512/2004/2004712.png", "Ver Ícono RAM")</f>
        <v/>
      </c>
      <c r="E5" s="17" t="inlineStr"/>
    </row>
    <row r="6" ht="25" customHeight="1">
      <c r="A6" s="16" t="n">
        <v>4</v>
      </c>
      <c r="B6" s="17" t="inlineStr">
        <is>
          <t>Placas Madre (Motherboard)</t>
        </is>
      </c>
      <c r="C6" s="16" t="inlineStr">
        <is>
          <t>mobo</t>
        </is>
      </c>
      <c r="D6" s="23">
        <f>HYPERLINK("https://cdn-icons-png.flaticon.com/512/2004/2004732.png", "Ver Ícono MOBO")</f>
        <v/>
      </c>
      <c r="E6" s="17" t="inlineStr"/>
    </row>
    <row r="7" ht="25" customHeight="1">
      <c r="A7" s="16" t="n">
        <v>5</v>
      </c>
      <c r="B7" s="17" t="inlineStr">
        <is>
          <t>Almacenamiento (SSD / HDD)</t>
        </is>
      </c>
      <c r="C7" s="16" t="inlineStr">
        <is>
          <t>ssd</t>
        </is>
      </c>
      <c r="D7" s="23">
        <f>HYPERLINK("https://cdn-icons-png.flaticon.com/512/2004/2004705.png", "Ver Ícono SSD")</f>
        <v/>
      </c>
      <c r="E7" s="17" t="inlineStr"/>
    </row>
    <row r="8" ht="25" customHeight="1">
      <c r="A8" s="16" t="n">
        <v>6</v>
      </c>
      <c r="B8" s="17" t="inlineStr">
        <is>
          <t>Gabinetes / Cases</t>
        </is>
      </c>
      <c r="C8" s="16" t="inlineStr">
        <is>
          <t>case</t>
        </is>
      </c>
      <c r="D8" s="23">
        <f>HYPERLINK("https://cdn-icons-png.flaticon.com/512/2004/2004718.png", "Ver Ícono CASE")</f>
        <v/>
      </c>
      <c r="E8" s="17" t="inlineStr"/>
    </row>
    <row r="9" ht="25" customHeight="1">
      <c r="A9" s="16" t="n">
        <v>7</v>
      </c>
      <c r="B9" s="17" t="inlineStr">
        <is>
          <t>Sistemas de Enfriamiento</t>
        </is>
      </c>
      <c r="C9" s="16" t="inlineStr">
        <is>
          <t>cooler</t>
        </is>
      </c>
      <c r="D9" s="23">
        <f>HYPERLINK("https://cdn-icons-png.flaticon.com/512/2004/2004728.png", "Ver Ícono COOLER")</f>
        <v/>
      </c>
      <c r="E9" s="17" t="inlineStr"/>
    </row>
    <row r="10" ht="25" customHeight="1">
      <c r="A10" s="16" t="n">
        <v>8</v>
      </c>
      <c r="B10" s="17" t="inlineStr">
        <is>
          <t>Fuentes de Poder</t>
        </is>
      </c>
      <c r="C10" s="16" t="inlineStr">
        <is>
          <t>psu</t>
        </is>
      </c>
      <c r="D10" s="23">
        <f>HYPERLINK("https://cdn-icons-png.flaticon.com/512/2004/2004715.png", "Ver Ícono PSU")</f>
        <v/>
      </c>
      <c r="E10" s="17" t="inlineStr"/>
    </row>
    <row r="11" ht="25" customHeight="1">
      <c r="A11" s="16" t="n">
        <v>9</v>
      </c>
      <c r="B11" s="17" t="inlineStr">
        <is>
          <t>Periféricos &amp; Accesorios</t>
        </is>
      </c>
      <c r="C11" s="16" t="inlineStr">
        <is>
          <t>perifericos</t>
        </is>
      </c>
      <c r="D11" s="23">
        <f>HYPERLINK("https://cdn-icons-png.flaticon.com/512/2004/2004738.png", "Ver Ícono PERIFERICOS")</f>
        <v/>
      </c>
      <c r="E11" s="17" t="inlineStr"/>
    </row>
    <row r="12"/>
    <row r="13"/>
    <row r="14">
      <c r="A14" s="3" t="inlineStr">
        <is>
          <t>DEFINICIÓN DE ENDPOINTS DE LA API (MSW HANDLERS)</t>
        </is>
      </c>
    </row>
    <row r="15">
      <c r="A15" s="4" t="inlineStr">
        <is>
          <t>Método HTTP</t>
        </is>
      </c>
      <c r="B15" s="4" t="inlineStr">
        <is>
          <t>Ruta de Endpoint</t>
        </is>
      </c>
      <c r="C15" s="4" t="inlineStr">
        <is>
          <t>Descripción del Handler</t>
        </is>
      </c>
      <c r="D15" s="4" t="inlineStr">
        <is>
          <t>Respuesta / Estado</t>
        </is>
      </c>
      <c r="E15" s="4" t="inlineStr">
        <is>
          <t>Mapeo Base de Datos</t>
        </is>
      </c>
    </row>
    <row r="16">
      <c r="A16" s="31" t="inlineStr">
        <is>
          <t>GET</t>
        </is>
      </c>
      <c r="B16" s="17" t="inlineStr">
        <is>
          <t>/auth/me</t>
        </is>
      </c>
      <c r="C16" s="17" t="inlineStr">
        <is>
          <t>Obtener usuario autenticado actual</t>
        </is>
      </c>
      <c r="D16" s="17" t="inlineStr">
        <is>
          <t>200 / 401 Unauthorized</t>
        </is>
      </c>
      <c r="E16" s="17" t="inlineStr">
        <is>
          <t>db.usuarios</t>
        </is>
      </c>
    </row>
    <row r="17">
      <c r="A17" s="32" t="inlineStr">
        <is>
          <t>POST</t>
        </is>
      </c>
      <c r="B17" s="17" t="inlineStr">
        <is>
          <t>/auth/login</t>
        </is>
      </c>
      <c r="C17" s="17" t="inlineStr">
        <is>
          <t>Iniciar sesión y obtener mock JWT token</t>
        </is>
      </c>
      <c r="D17" s="17" t="inlineStr">
        <is>
          <t>200 OK + token</t>
        </is>
      </c>
      <c r="E17" s="17" t="inlineStr">
        <is>
          <t>db.usuarios[0]</t>
        </is>
      </c>
    </row>
    <row r="18">
      <c r="A18" s="31" t="inlineStr">
        <is>
          <t>GET</t>
        </is>
      </c>
      <c r="B18" s="17" t="inlineStr">
        <is>
          <t>/usuario/:id</t>
        </is>
      </c>
      <c r="C18" s="17" t="inlineStr">
        <is>
          <t>Consultar usuario por ID específico</t>
        </is>
      </c>
      <c r="D18" s="17" t="inlineStr">
        <is>
          <t>200 OK / 404 Not Found</t>
        </is>
      </c>
      <c r="E18" s="17" t="inlineStr">
        <is>
          <t>db.usuarios.find()</t>
        </is>
      </c>
    </row>
    <row r="19">
      <c r="A19" s="31" t="inlineStr">
        <is>
          <t>GET</t>
        </is>
      </c>
      <c r="B19" s="17" t="inlineStr">
        <is>
          <t>/categorias/todas</t>
        </is>
      </c>
      <c r="C19" s="17" t="inlineStr">
        <is>
          <t>Listado completo de categorías con íconos</t>
        </is>
      </c>
      <c r="D19" s="17" t="inlineStr">
        <is>
          <t>200 OK</t>
        </is>
      </c>
      <c r="E19" s="17" t="inlineStr">
        <is>
          <t>Categorías con ícono</t>
        </is>
      </c>
    </row>
    <row r="20">
      <c r="A20" s="31" t="inlineStr">
        <is>
          <t>GET</t>
        </is>
      </c>
      <c r="B20" s="17" t="inlineStr">
        <is>
          <t>/categorias</t>
        </is>
      </c>
      <c r="C20" s="17" t="inlineStr">
        <is>
          <t>Listado simplificado de categorías</t>
        </is>
      </c>
      <c r="D20" s="17" t="inlineStr">
        <is>
          <t>200 OK</t>
        </is>
      </c>
      <c r="E20" s="17" t="inlineStr">
        <is>
          <t>Categorías principales</t>
        </is>
      </c>
    </row>
    <row r="21">
      <c r="A21" s="31" t="inlineStr">
        <is>
          <t>GET</t>
        </is>
      </c>
      <c r="B21" s="17" t="inlineStr">
        <is>
          <t>/tiendas</t>
        </is>
      </c>
      <c r="C21" s="17" t="inlineStr">
        <is>
          <t>Listado completo de tiendas</t>
        </is>
      </c>
      <c r="D21" s="17" t="inlineStr">
        <is>
          <t>200 OK</t>
        </is>
      </c>
      <c r="E21" s="17" t="inlineStr">
        <is>
          <t>db.tiendas</t>
        </is>
      </c>
    </row>
    <row r="22">
      <c r="A22" s="31" t="inlineStr">
        <is>
          <t>GET</t>
        </is>
      </c>
      <c r="B22" s="17" t="inlineStr">
        <is>
          <t>/tiendas/verificadas</t>
        </is>
      </c>
      <c r="C22" s="17" t="inlineStr">
        <is>
          <t>Filtrar tiendas con estado ACTIVO</t>
        </is>
      </c>
      <c r="D22" s="17" t="inlineStr">
        <is>
          <t>200 OK</t>
        </is>
      </c>
      <c r="E22" s="17" t="inlineStr">
        <is>
          <t>db.tiendas.filter(estado === ACTIVO)</t>
        </is>
      </c>
    </row>
    <row r="23">
      <c r="A23" s="31" t="inlineStr">
        <is>
          <t>GET</t>
        </is>
      </c>
      <c r="B23" s="17" t="inlineStr">
        <is>
          <t>/filtro/categorias</t>
        </is>
      </c>
      <c r="C23" s="17" t="inlineStr">
        <is>
          <t>Obtener filtros por categoría</t>
        </is>
      </c>
      <c r="D23" s="17" t="inlineStr">
        <is>
          <t>200 OK</t>
        </is>
      </c>
      <c r="E23" s="17" t="inlineStr">
        <is>
          <t>Categorías dinámicas</t>
        </is>
      </c>
    </row>
    <row r="24">
      <c r="A24" s="31" t="inlineStr">
        <is>
          <t>GET</t>
        </is>
      </c>
      <c r="B24" s="17" t="inlineStr">
        <is>
          <t>/filtro/precios</t>
        </is>
      </c>
      <c r="C24" s="17" t="inlineStr">
        <is>
          <t>Obtener rango min/max de precios</t>
        </is>
      </c>
      <c r="D24" s="17" t="inlineStr">
        <is>
          <t>200 OK { min: 0, max: 2000 }</t>
        </is>
      </c>
      <c r="E24" s="17" t="inlineStr">
        <is>
          <t>Rango de precios ($)</t>
        </is>
      </c>
    </row>
    <row r="25">
      <c r="A25" s="31" t="inlineStr">
        <is>
          <t>GET</t>
        </is>
      </c>
      <c r="B25" s="17" t="inlineStr">
        <is>
          <t>/filtro/marcas</t>
        </is>
      </c>
      <c r="C25" s="17" t="inlineStr">
        <is>
          <t>Obtener marcas disponibles</t>
        </is>
      </c>
      <c r="D25" s="17" t="inlineStr">
        <is>
          <t>200 OK ['Intel', 'NVIDIA', 'AMD']</t>
        </is>
      </c>
      <c r="E25" s="17" t="inlineStr">
        <is>
          <t>Marcas de hardware</t>
        </is>
      </c>
    </row>
    <row r="26">
      <c r="A26" s="31" t="inlineStr">
        <is>
          <t>GET</t>
        </is>
      </c>
      <c r="B26" s="17" t="inlineStr">
        <is>
          <t>/filtro/tiendas</t>
        </is>
      </c>
      <c r="C26" s="17" t="inlineStr">
        <is>
          <t>Obtener tiendas para filtrado</t>
        </is>
      </c>
      <c r="D26" s="17" t="inlineStr">
        <is>
          <t>200 OK</t>
        </is>
      </c>
      <c r="E26" s="17" t="inlineStr">
        <is>
          <t>db.tiendas</t>
        </is>
      </c>
    </row>
    <row r="27">
      <c r="A27" s="31" t="inlineStr">
        <is>
          <t>GET</t>
        </is>
      </c>
      <c r="B27" s="17" t="inlineStr">
        <is>
          <t>/productos</t>
        </is>
      </c>
      <c r="C27" s="17" t="inlineStr">
        <is>
          <t>Listado de todos los productos y componentes</t>
        </is>
      </c>
      <c r="D27" s="17" t="inlineStr">
        <is>
          <t>200 OK</t>
        </is>
      </c>
      <c r="E27" s="17" t="inlineStr">
        <is>
          <t>db.productos</t>
        </is>
      </c>
    </row>
    <row r="28">
      <c r="A28" s="31" t="inlineStr">
        <is>
          <t>GET</t>
        </is>
      </c>
      <c r="B28" s="17" t="inlineStr">
        <is>
          <t>/productos/:id</t>
        </is>
      </c>
      <c r="C28" s="17" t="inlineStr">
        <is>
          <t>Obtener detalle de producto por ID</t>
        </is>
      </c>
      <c r="D28" s="17" t="inlineStr">
        <is>
          <t>200 OK / 404 Not Found</t>
        </is>
      </c>
      <c r="E28" s="17" t="inlineStr">
        <is>
          <t>db.productos.find()</t>
        </is>
      </c>
    </row>
    <row r="29">
      <c r="A29" s="31" t="inlineStr">
        <is>
          <t>GET</t>
        </is>
      </c>
      <c r="B29" s="17" t="inlineStr">
        <is>
          <t>/empleados</t>
        </is>
      </c>
      <c r="C29" s="17" t="inlineStr">
        <is>
          <t>Obtener lista de personal de soporte</t>
        </is>
      </c>
      <c r="D29" s="17" t="inlineStr">
        <is>
          <t>200 OK</t>
        </is>
      </c>
      <c r="E29" s="17" t="inlineStr">
        <is>
          <t>db.empleados</t>
        </is>
      </c>
    </row>
    <row r="30">
      <c r="A30" s="31" t="inlineStr">
        <is>
          <t>GET</t>
        </is>
      </c>
      <c r="B30" s="17" t="inlineStr">
        <is>
          <t>/incidentes</t>
        </is>
      </c>
      <c r="C30" s="17" t="inlineStr">
        <is>
          <t>Obtener incidentes y tickets de soporte</t>
        </is>
      </c>
      <c r="D30" s="17" t="inlineStr">
        <is>
          <t>200 OK</t>
        </is>
      </c>
      <c r="E30" s="17" t="inlineStr">
        <is>
          <t>db.incidentes</t>
        </is>
      </c>
    </row>
  </sheetData>
  <mergeCells count="2">
    <mergeCell ref="A1:E1"/>
    <mergeCell ref="A14:E1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2026-10-01T17:01:08Z</dcterms:created>
  <dcterms:modified xmlns:dcterms="http://purl.org/dc/terms/" xmlns:xsi="http://www.w3.org/2001/XMLSchema-instance" xsi:type="dcterms:W3CDTF">2026-10-01T17:01:08Z</dcterms:modified>
</cp:coreProperties>
</file>